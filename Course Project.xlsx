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620\Desktop\"/>
    </mc:Choice>
  </mc:AlternateContent>
  <xr:revisionPtr revIDLastSave="0" documentId="13_ncr:1_{E67B50F7-1B73-4D0A-96DB-434C082CE55C}" xr6:coauthVersionLast="47" xr6:coauthVersionMax="47" xr10:uidLastSave="{00000000-0000-0000-0000-000000000000}"/>
  <bookViews>
    <workbookView xWindow="-96" yWindow="-96" windowWidth="23232" windowHeight="13152" activeTab="2" xr2:uid="{E5881234-668D-4EBC-82C2-A6C9856B3D3A}"/>
  </bookViews>
  <sheets>
    <sheet name="Feed-1" sheetId="1" r:id="rId1"/>
    <sheet name="Feed-2" sheetId="2" r:id="rId2"/>
    <sheet name="Feed-3" sheetId="3" r:id="rId3"/>
    <sheet name="Feed-4" sheetId="4" r:id="rId4"/>
    <sheet name="Feed-5" sheetId="5" r:id="rId5"/>
    <sheet name="Feed-6" sheetId="6" r:id="rId6"/>
    <sheet name="Sheet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2" i="3" l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2" i="3"/>
  <c r="G4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2" i="3"/>
  <c r="F3" i="3"/>
  <c r="F4" i="3"/>
  <c r="F5" i="3"/>
  <c r="F6" i="3"/>
  <c r="F7" i="3"/>
  <c r="F8" i="3"/>
  <c r="F9" i="3"/>
  <c r="F10" i="3"/>
  <c r="F11" i="3"/>
  <c r="F2" i="3"/>
  <c r="E3" i="3"/>
  <c r="E4" i="3"/>
  <c r="E5" i="3"/>
  <c r="E6" i="3"/>
  <c r="E7" i="3"/>
  <c r="E8" i="3"/>
  <c r="E9" i="3"/>
  <c r="E10" i="3"/>
  <c r="E11" i="3"/>
  <c r="E2" i="3"/>
  <c r="E47" i="3"/>
  <c r="D47" i="3"/>
  <c r="D3" i="3"/>
  <c r="D4" i="3"/>
  <c r="D5" i="3"/>
  <c r="D6" i="3"/>
  <c r="D7" i="3"/>
  <c r="D8" i="3"/>
  <c r="D9" i="3"/>
  <c r="D10" i="3"/>
  <c r="D11" i="3"/>
  <c r="D2" i="3"/>
  <c r="C12" i="3"/>
  <c r="C3" i="3"/>
  <c r="C4" i="3"/>
  <c r="C5" i="3"/>
  <c r="C6" i="3"/>
  <c r="C7" i="3"/>
  <c r="C8" i="3"/>
  <c r="C9" i="3"/>
  <c r="C10" i="3"/>
  <c r="C11" i="3"/>
  <c r="C2" i="3"/>
  <c r="B42" i="3"/>
  <c r="C47" i="3"/>
  <c r="J2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" i="2"/>
  <c r="G23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" i="2"/>
  <c r="F2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" i="2"/>
  <c r="D11" i="2"/>
  <c r="D10" i="2"/>
  <c r="D9" i="2"/>
  <c r="D8" i="2"/>
  <c r="D7" i="2"/>
  <c r="D6" i="2"/>
  <c r="D5" i="2"/>
  <c r="D4" i="2"/>
  <c r="D3" i="2"/>
  <c r="D2" i="2"/>
  <c r="B22" i="2"/>
  <c r="C23" i="2"/>
  <c r="C3" i="2"/>
  <c r="C4" i="2"/>
  <c r="C5" i="2"/>
  <c r="C6" i="2"/>
  <c r="C7" i="2"/>
  <c r="C8" i="2"/>
  <c r="C9" i="2"/>
  <c r="C10" i="2"/>
  <c r="C11" i="2"/>
  <c r="C2" i="2"/>
  <c r="E26" i="2"/>
  <c r="D26" i="2"/>
  <c r="C26" i="2"/>
  <c r="F12" i="1"/>
  <c r="J22" i="1"/>
  <c r="H11" i="1"/>
  <c r="H10" i="1"/>
  <c r="I10" i="1" s="1"/>
  <c r="J10" i="1" s="1"/>
  <c r="H9" i="1"/>
  <c r="H8" i="1"/>
  <c r="I8" i="1" s="1"/>
  <c r="J8" i="1" s="1"/>
  <c r="H6" i="1"/>
  <c r="I6" i="1" s="1"/>
  <c r="J6" i="1" s="1"/>
  <c r="H7" i="1"/>
  <c r="I7" i="1" s="1"/>
  <c r="J7" i="1" s="1"/>
  <c r="H5" i="1"/>
  <c r="I5" i="1" s="1"/>
  <c r="J5" i="1" s="1"/>
  <c r="H4" i="1"/>
  <c r="I4" i="1" s="1"/>
  <c r="J4" i="1" s="1"/>
  <c r="H3" i="1"/>
  <c r="I3" i="1" s="1"/>
  <c r="J3" i="1" s="1"/>
  <c r="H2" i="1"/>
  <c r="I2" i="1" s="1"/>
  <c r="J2" i="1" s="1"/>
  <c r="G21" i="1"/>
  <c r="G20" i="1"/>
  <c r="G19" i="1"/>
  <c r="G18" i="1"/>
  <c r="G17" i="1"/>
  <c r="G16" i="1"/>
  <c r="G15" i="1"/>
  <c r="G14" i="1"/>
  <c r="G13" i="1"/>
  <c r="G12" i="1"/>
  <c r="B22" i="1"/>
  <c r="E3" i="1"/>
  <c r="E4" i="1"/>
  <c r="E5" i="1"/>
  <c r="E6" i="1"/>
  <c r="E7" i="1"/>
  <c r="E8" i="1"/>
  <c r="E9" i="1"/>
  <c r="E10" i="1"/>
  <c r="E11" i="1"/>
  <c r="E2" i="1"/>
  <c r="F2" i="1" s="1"/>
  <c r="I9" i="1"/>
  <c r="J9" i="1" s="1"/>
  <c r="I11" i="1"/>
  <c r="J11" i="1" s="1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D11" i="1"/>
  <c r="D10" i="1"/>
  <c r="D9" i="1"/>
  <c r="D8" i="1"/>
  <c r="D7" i="1"/>
  <c r="D6" i="1"/>
  <c r="D5" i="1"/>
  <c r="D4" i="1"/>
  <c r="D3" i="1"/>
  <c r="D2" i="1"/>
  <c r="C3" i="1"/>
  <c r="C4" i="1"/>
  <c r="C5" i="1"/>
  <c r="C6" i="1"/>
  <c r="C7" i="1"/>
  <c r="C8" i="1"/>
  <c r="C9" i="1"/>
  <c r="C10" i="1"/>
  <c r="C11" i="1"/>
  <c r="C2" i="1"/>
  <c r="D26" i="1"/>
  <c r="C26" i="1"/>
  <c r="A12" i="3"/>
  <c r="B12" i="5"/>
  <c r="A12" i="5"/>
  <c r="B12" i="6"/>
  <c r="A12" i="6"/>
  <c r="B12" i="4"/>
  <c r="A12" i="4"/>
  <c r="A12" i="2"/>
  <c r="A12" i="1"/>
</calcChain>
</file>

<file path=xl/sharedStrings.xml><?xml version="1.0" encoding="utf-8"?>
<sst xmlns="http://schemas.openxmlformats.org/spreadsheetml/2006/main" count="61" uniqueCount="22">
  <si>
    <t>Diameter Before Crushing</t>
  </si>
  <si>
    <t>Diameter After Crushing</t>
  </si>
  <si>
    <t>Weight Before Crushing</t>
  </si>
  <si>
    <t>Weight After Crushing</t>
  </si>
  <si>
    <t>Nominal Diameter (Dpi)</t>
  </si>
  <si>
    <t>Density (gm/cm3)</t>
  </si>
  <si>
    <t>Weight Before Crushing (grams)</t>
  </si>
  <si>
    <t>Volume of this feed (cm3) AC</t>
  </si>
  <si>
    <t>Dia^3 BC</t>
  </si>
  <si>
    <t>Nominal Diameter (Dpi) cm BC</t>
  </si>
  <si>
    <t>Diameter BC</t>
  </si>
  <si>
    <t>Diameter AC</t>
  </si>
  <si>
    <t>Diacube proportion BC</t>
  </si>
  <si>
    <t>Particle Volume (cm3) BC</t>
  </si>
  <si>
    <t>Dia^3 AC</t>
  </si>
  <si>
    <t>Diacube Proportion AC</t>
  </si>
  <si>
    <t>Volume of this feed (cm3) BC from density</t>
  </si>
  <si>
    <t>Particle Volume AC</t>
  </si>
  <si>
    <t>Nominal Diameter Dpi AC</t>
  </si>
  <si>
    <t>sum of  diacube BC=</t>
  </si>
  <si>
    <t xml:space="preserve">sum =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</si>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</sst>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Sanskrit Text"/>
      <family val="2"/>
    </font>
    <font>
      <b/>
      <sz val="11"/>
      <color theme="1"/>
      <name val="Sanskrit Text"/>
      <family val="1"/>
    </font>
    <font>
      <sz val="11"/>
      <color theme="1"/>
      <name val="Sanskrit Text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74461-A9A4-412B-9A7B-5F7A416E665D}">
  <dimension ref="A1:J26"/>
  <sheetViews>
    <sheetView topLeftCell="D6" workbookViewId="0">
      <selection activeCell="C13" sqref="C13"/>
    </sheetView>
  </sheetViews>
  <sheetFormatPr defaultRowHeight="18" x14ac:dyDescent="0.5"/>
  <cols>
    <col min="1" max="1" width="24.09765625" customWidth="1"/>
    <col min="2" max="3" width="21.59765625" customWidth="1"/>
    <col min="4" max="4" width="38.59765625" customWidth="1"/>
    <col min="5" max="5" width="23.8984375" customWidth="1"/>
    <col min="6" max="6" width="26.3984375" customWidth="1"/>
    <col min="7" max="7" width="27.296875" customWidth="1"/>
    <col min="8" max="8" width="20.8984375" customWidth="1"/>
    <col min="9" max="9" width="17.296875" customWidth="1"/>
  </cols>
  <sheetData>
    <row r="1" spans="1:10" x14ac:dyDescent="0.5">
      <c r="A1" t="s">
        <v>10</v>
      </c>
      <c r="B1" t="s">
        <v>11</v>
      </c>
      <c r="C1" t="s">
        <v>8</v>
      </c>
      <c r="D1" t="s">
        <v>12</v>
      </c>
      <c r="E1" t="s">
        <v>13</v>
      </c>
      <c r="F1" t="s">
        <v>9</v>
      </c>
      <c r="G1" t="s">
        <v>14</v>
      </c>
      <c r="H1" t="s">
        <v>15</v>
      </c>
      <c r="I1" t="s">
        <v>17</v>
      </c>
      <c r="J1" t="s">
        <v>18</v>
      </c>
    </row>
    <row r="2" spans="1:10" x14ac:dyDescent="0.5">
      <c r="A2">
        <v>2</v>
      </c>
      <c r="B2">
        <v>1.4</v>
      </c>
      <c r="C2">
        <f>A2^3</f>
        <v>8</v>
      </c>
      <c r="D2">
        <f>C2/(SUM(C2:C11))</f>
        <v>0.17992892807341096</v>
      </c>
      <c r="E2">
        <f>45*D2</f>
        <v>8.0968017633034925</v>
      </c>
      <c r="F2">
        <f>(6*E2/3.142)^(1/3)</f>
        <v>2.4912626982910062</v>
      </c>
      <c r="G2">
        <f>B2^3</f>
        <v>2.7439999999999993</v>
      </c>
      <c r="H2">
        <f>G2/(SUM(G2:G21))</f>
        <v>0.11019859038975119</v>
      </c>
      <c r="I2">
        <f>44*H2</f>
        <v>4.8487379771490522</v>
      </c>
      <c r="J2">
        <f>(6*I2/3.142)^(1/3)</f>
        <v>2.0998644531533368</v>
      </c>
    </row>
    <row r="3" spans="1:10" x14ac:dyDescent="0.5">
      <c r="A3">
        <v>2.2000000000000002</v>
      </c>
      <c r="B3">
        <v>1.1000000000000001</v>
      </c>
      <c r="C3">
        <f t="shared" ref="C3:C11" si="0">A3^3</f>
        <v>10.648000000000003</v>
      </c>
      <c r="D3">
        <f>C3/(SUM(C2:C11))</f>
        <v>0.23948540326571005</v>
      </c>
      <c r="E3">
        <f t="shared" ref="E3:E11" si="1">45*D3</f>
        <v>10.776843146956953</v>
      </c>
      <c r="F3">
        <f t="shared" ref="F3:F11" si="2">(6*E3/3.142)^(1/3)</f>
        <v>2.740388968120107</v>
      </c>
      <c r="G3">
        <f t="shared" ref="G3:G21" si="3">B3^3</f>
        <v>1.3310000000000004</v>
      </c>
      <c r="H3">
        <f>G3/(SUM(G2:G21))</f>
        <v>5.3452741912813018E-2</v>
      </c>
      <c r="I3">
        <f t="shared" ref="I3:I11" si="4">44*H3</f>
        <v>2.3519206441637728</v>
      </c>
      <c r="J3">
        <f t="shared" ref="J3:J11" si="5">(6*I3/3.142)^(1/3)</f>
        <v>1.6498934989061935</v>
      </c>
    </row>
    <row r="4" spans="1:10" x14ac:dyDescent="0.5">
      <c r="A4">
        <v>1.5</v>
      </c>
      <c r="B4">
        <v>1</v>
      </c>
      <c r="C4">
        <f t="shared" si="0"/>
        <v>3.375</v>
      </c>
      <c r="D4">
        <f>C4/(SUM(C2:C11))</f>
        <v>7.5907516530970248E-2</v>
      </c>
      <c r="E4">
        <f t="shared" si="1"/>
        <v>3.4158382438936612</v>
      </c>
      <c r="F4">
        <f t="shared" si="2"/>
        <v>1.8684470237182547</v>
      </c>
      <c r="G4">
        <f t="shared" si="3"/>
        <v>1</v>
      </c>
      <c r="H4">
        <f>G4/(SUM(G2:G21))</f>
        <v>4.015983614786852E-2</v>
      </c>
      <c r="I4">
        <f t="shared" si="4"/>
        <v>1.7670327905062149</v>
      </c>
      <c r="J4">
        <f t="shared" si="5"/>
        <v>1.4999031808238121</v>
      </c>
    </row>
    <row r="5" spans="1:10" x14ac:dyDescent="0.5">
      <c r="A5">
        <v>1.7</v>
      </c>
      <c r="B5">
        <v>1</v>
      </c>
      <c r="C5">
        <f t="shared" si="0"/>
        <v>4.9129999999999994</v>
      </c>
      <c r="D5">
        <f>C5/(SUM(C2:C11))</f>
        <v>0.1104988529530835</v>
      </c>
      <c r="E5">
        <f t="shared" si="1"/>
        <v>4.9724483828887571</v>
      </c>
      <c r="F5">
        <f t="shared" si="2"/>
        <v>2.117573293547355</v>
      </c>
      <c r="G5">
        <f t="shared" si="3"/>
        <v>1</v>
      </c>
      <c r="H5">
        <f>G5/(SUM(G2:G21))</f>
        <v>4.015983614786852E-2</v>
      </c>
      <c r="I5">
        <f t="shared" si="4"/>
        <v>1.7670327905062149</v>
      </c>
      <c r="J5">
        <f t="shared" si="5"/>
        <v>1.4999031808238121</v>
      </c>
    </row>
    <row r="6" spans="1:10" x14ac:dyDescent="0.5">
      <c r="A6">
        <v>1.3</v>
      </c>
      <c r="B6">
        <v>1.05</v>
      </c>
      <c r="C6">
        <f t="shared" si="0"/>
        <v>2.1970000000000005</v>
      </c>
      <c r="D6">
        <f>C6/(SUM(C2:C11))</f>
        <v>4.9412981872160498E-2</v>
      </c>
      <c r="E6">
        <f t="shared" si="1"/>
        <v>2.2235841842472226</v>
      </c>
      <c r="F6">
        <f t="shared" si="2"/>
        <v>1.6193207538891543</v>
      </c>
      <c r="G6">
        <f t="shared" si="3"/>
        <v>1.1576250000000001</v>
      </c>
      <c r="H6">
        <f>G6/(SUM(G2:G21))</f>
        <v>4.64900303206763E-2</v>
      </c>
      <c r="I6">
        <f t="shared" si="4"/>
        <v>2.0455613341097574</v>
      </c>
      <c r="J6">
        <f t="shared" si="5"/>
        <v>1.5748983398650029</v>
      </c>
    </row>
    <row r="7" spans="1:10" x14ac:dyDescent="0.5">
      <c r="A7">
        <v>1.5</v>
      </c>
      <c r="B7">
        <v>1.1000000000000001</v>
      </c>
      <c r="C7">
        <f t="shared" si="0"/>
        <v>3.375</v>
      </c>
      <c r="D7">
        <f>C7/(SUM(C2:C11))</f>
        <v>7.5907516530970248E-2</v>
      </c>
      <c r="E7">
        <f t="shared" si="1"/>
        <v>3.4158382438936612</v>
      </c>
      <c r="F7">
        <f t="shared" si="2"/>
        <v>1.8684470237182547</v>
      </c>
      <c r="G7">
        <f t="shared" si="3"/>
        <v>1.3310000000000004</v>
      </c>
      <c r="H7">
        <f>G7/(SUM(G2:G21))</f>
        <v>5.3452741912813018E-2</v>
      </c>
      <c r="I7">
        <f t="shared" si="4"/>
        <v>2.3519206441637728</v>
      </c>
      <c r="J7">
        <f t="shared" si="5"/>
        <v>1.6498934989061935</v>
      </c>
    </row>
    <row r="8" spans="1:10" x14ac:dyDescent="0.5">
      <c r="A8">
        <v>1.3</v>
      </c>
      <c r="B8">
        <v>1.05</v>
      </c>
      <c r="C8">
        <f t="shared" si="0"/>
        <v>2.1970000000000005</v>
      </c>
      <c r="D8">
        <f>C8/(SUM(C2:C11))</f>
        <v>4.9412981872160498E-2</v>
      </c>
      <c r="E8">
        <f t="shared" si="1"/>
        <v>2.2235841842472226</v>
      </c>
      <c r="F8">
        <f t="shared" si="2"/>
        <v>1.6193207538891543</v>
      </c>
      <c r="G8">
        <f t="shared" si="3"/>
        <v>1.1576250000000001</v>
      </c>
      <c r="H8">
        <f>G8/(SUM(G2:G21))</f>
        <v>4.64900303206763E-2</v>
      </c>
      <c r="I8">
        <f t="shared" si="4"/>
        <v>2.0455613341097574</v>
      </c>
      <c r="J8">
        <f t="shared" si="5"/>
        <v>1.5748983398650029</v>
      </c>
    </row>
    <row r="9" spans="1:10" x14ac:dyDescent="0.5">
      <c r="A9">
        <v>1.8</v>
      </c>
      <c r="B9">
        <v>1</v>
      </c>
      <c r="C9">
        <f t="shared" si="0"/>
        <v>5.8320000000000007</v>
      </c>
      <c r="D9">
        <f>C9/(SUM(C2:C11))</f>
        <v>0.1311681885655166</v>
      </c>
      <c r="E9">
        <f t="shared" si="1"/>
        <v>5.9025684854482465</v>
      </c>
      <c r="F9">
        <f t="shared" si="2"/>
        <v>2.2421364284619054</v>
      </c>
      <c r="G9">
        <f t="shared" si="3"/>
        <v>1</v>
      </c>
      <c r="H9">
        <f>G9/(SUM(G2:G21))</f>
        <v>4.015983614786852E-2</v>
      </c>
      <c r="I9">
        <f t="shared" si="4"/>
        <v>1.7670327905062149</v>
      </c>
      <c r="J9">
        <f t="shared" si="5"/>
        <v>1.4999031808238121</v>
      </c>
    </row>
    <row r="10" spans="1:10" x14ac:dyDescent="0.5">
      <c r="A10">
        <v>1.2</v>
      </c>
      <c r="B10">
        <v>1</v>
      </c>
      <c r="C10">
        <f t="shared" si="0"/>
        <v>1.728</v>
      </c>
      <c r="D10">
        <f>C10/(SUM(C2:C11))</f>
        <v>3.8864648463856767E-2</v>
      </c>
      <c r="E10">
        <f t="shared" si="1"/>
        <v>1.7489091808735546</v>
      </c>
      <c r="F10">
        <f t="shared" si="2"/>
        <v>1.4947576189746037</v>
      </c>
      <c r="G10">
        <f t="shared" si="3"/>
        <v>1</v>
      </c>
      <c r="H10">
        <f>G10/(SUM(G2:G21))</f>
        <v>4.015983614786852E-2</v>
      </c>
      <c r="I10">
        <f t="shared" si="4"/>
        <v>1.7670327905062149</v>
      </c>
      <c r="J10">
        <f t="shared" si="5"/>
        <v>1.4999031808238121</v>
      </c>
    </row>
    <row r="11" spans="1:10" x14ac:dyDescent="0.5">
      <c r="A11">
        <v>1.3</v>
      </c>
      <c r="B11">
        <v>0.9</v>
      </c>
      <c r="C11">
        <f t="shared" si="0"/>
        <v>2.1970000000000005</v>
      </c>
      <c r="D11">
        <f>C11/(SUM(C2:C11))</f>
        <v>4.9412981872160498E-2</v>
      </c>
      <c r="E11">
        <f t="shared" si="1"/>
        <v>2.2235841842472226</v>
      </c>
      <c r="F11">
        <f t="shared" si="2"/>
        <v>1.6193207538891543</v>
      </c>
      <c r="G11">
        <f t="shared" si="3"/>
        <v>0.72900000000000009</v>
      </c>
      <c r="H11">
        <f>G11/(SUM(G2:G21))</f>
        <v>2.9276520551796154E-2</v>
      </c>
      <c r="I11">
        <f t="shared" si="4"/>
        <v>1.2881669042790307</v>
      </c>
      <c r="J11">
        <f t="shared" si="5"/>
        <v>1.349912862741431</v>
      </c>
    </row>
    <row r="12" spans="1:10" x14ac:dyDescent="0.5">
      <c r="A12" s="1">
        <f>AVERAGE(A2:A11)</f>
        <v>1.5800000000000003</v>
      </c>
      <c r="B12">
        <v>1.4</v>
      </c>
      <c r="F12" s="1">
        <f>AVERAGE(F2:F11)</f>
        <v>1.9680975316498952</v>
      </c>
      <c r="G12">
        <f>B12^3</f>
        <v>2.7439999999999993</v>
      </c>
      <c r="H12">
        <v>0.11019859038975119</v>
      </c>
      <c r="I12">
        <v>4.8487379771490522</v>
      </c>
      <c r="J12" s="2">
        <v>2.0998644531533368</v>
      </c>
    </row>
    <row r="13" spans="1:10" x14ac:dyDescent="0.5">
      <c r="B13">
        <v>1.1000000000000001</v>
      </c>
      <c r="G13">
        <f t="shared" si="3"/>
        <v>1.3310000000000004</v>
      </c>
      <c r="H13">
        <v>5.3452741912813018E-2</v>
      </c>
      <c r="I13">
        <v>2.3519206441637728</v>
      </c>
      <c r="J13">
        <v>1.6498934989061935</v>
      </c>
    </row>
    <row r="14" spans="1:10" x14ac:dyDescent="0.5">
      <c r="B14">
        <v>1</v>
      </c>
      <c r="G14">
        <f t="shared" si="3"/>
        <v>1</v>
      </c>
      <c r="H14">
        <v>4.015983614786852E-2</v>
      </c>
      <c r="I14">
        <v>1.7670327905062149</v>
      </c>
      <c r="J14">
        <v>1.4999031808238121</v>
      </c>
    </row>
    <row r="15" spans="1:10" x14ac:dyDescent="0.5">
      <c r="B15">
        <v>1</v>
      </c>
      <c r="G15">
        <f t="shared" si="3"/>
        <v>1</v>
      </c>
      <c r="H15">
        <v>4.015983614786852E-2</v>
      </c>
      <c r="I15">
        <v>1.7670327905062149</v>
      </c>
      <c r="J15">
        <v>1.4999031808238121</v>
      </c>
    </row>
    <row r="16" spans="1:10" x14ac:dyDescent="0.5">
      <c r="B16">
        <v>1.05</v>
      </c>
      <c r="G16">
        <f t="shared" si="3"/>
        <v>1.1576250000000001</v>
      </c>
      <c r="H16">
        <v>4.64900303206763E-2</v>
      </c>
      <c r="I16">
        <v>2.0455613341097574</v>
      </c>
      <c r="J16">
        <v>1.5748983398650029</v>
      </c>
    </row>
    <row r="17" spans="1:10" x14ac:dyDescent="0.5">
      <c r="B17">
        <v>1.1000000000000001</v>
      </c>
      <c r="G17">
        <f t="shared" si="3"/>
        <v>1.3310000000000004</v>
      </c>
      <c r="H17">
        <v>5.3452741912813018E-2</v>
      </c>
      <c r="I17">
        <v>2.3519206441637728</v>
      </c>
      <c r="J17">
        <v>1.6498934989061935</v>
      </c>
    </row>
    <row r="18" spans="1:10" x14ac:dyDescent="0.5">
      <c r="B18">
        <v>1.05</v>
      </c>
      <c r="G18">
        <f t="shared" si="3"/>
        <v>1.1576250000000001</v>
      </c>
      <c r="H18">
        <v>4.64900303206763E-2</v>
      </c>
      <c r="I18">
        <v>2.0455613341097574</v>
      </c>
      <c r="J18">
        <v>1.5748983398650029</v>
      </c>
    </row>
    <row r="19" spans="1:10" x14ac:dyDescent="0.5">
      <c r="B19">
        <v>1</v>
      </c>
      <c r="G19">
        <f t="shared" si="3"/>
        <v>1</v>
      </c>
      <c r="H19">
        <v>4.015983614786852E-2</v>
      </c>
      <c r="I19">
        <v>1.7670327905062149</v>
      </c>
      <c r="J19">
        <v>1.4999031808238121</v>
      </c>
    </row>
    <row r="20" spans="1:10" x14ac:dyDescent="0.5">
      <c r="B20">
        <v>1</v>
      </c>
      <c r="G20">
        <f t="shared" si="3"/>
        <v>1</v>
      </c>
      <c r="H20">
        <v>4.015983614786852E-2</v>
      </c>
      <c r="I20">
        <v>1.7670327905062149</v>
      </c>
      <c r="J20">
        <v>1.4999031808238121</v>
      </c>
    </row>
    <row r="21" spans="1:10" x14ac:dyDescent="0.5">
      <c r="B21">
        <v>0.9</v>
      </c>
      <c r="G21">
        <f t="shared" si="3"/>
        <v>0.72900000000000009</v>
      </c>
      <c r="H21">
        <v>2.9276520551796154E-2</v>
      </c>
      <c r="I21">
        <v>1.2881669042790307</v>
      </c>
      <c r="J21">
        <v>1.349912862741431</v>
      </c>
    </row>
    <row r="22" spans="1:10" x14ac:dyDescent="0.5">
      <c r="B22" s="1">
        <f>AVERAGE(B2:B21)</f>
        <v>1.06</v>
      </c>
      <c r="J22" s="1">
        <f>AVERAGE(J2:J21)</f>
        <v>1.5898973716732407</v>
      </c>
    </row>
    <row r="25" spans="1:10" x14ac:dyDescent="0.5">
      <c r="A25" t="s">
        <v>6</v>
      </c>
      <c r="B25" t="s">
        <v>3</v>
      </c>
      <c r="C25" t="s">
        <v>5</v>
      </c>
      <c r="D25" t="s">
        <v>16</v>
      </c>
      <c r="E25" t="s">
        <v>7</v>
      </c>
    </row>
    <row r="26" spans="1:10" x14ac:dyDescent="0.5">
      <c r="A26">
        <v>90</v>
      </c>
      <c r="B26">
        <v>88</v>
      </c>
      <c r="C26">
        <f>2000*0.001</f>
        <v>2</v>
      </c>
      <c r="D26">
        <f>90/2</f>
        <v>45</v>
      </c>
      <c r="E26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B0658-7236-43BB-AF0C-CEB71918A9BF}">
  <dimension ref="A1:J26"/>
  <sheetViews>
    <sheetView topLeftCell="A22" workbookViewId="0">
      <selection sqref="A1:XFD1"/>
    </sheetView>
  </sheetViews>
  <sheetFormatPr defaultRowHeight="18" x14ac:dyDescent="0.5"/>
  <cols>
    <col min="1" max="1" width="24.296875" customWidth="1"/>
    <col min="2" max="2" width="22.59765625" customWidth="1"/>
    <col min="3" max="3" width="23.59765625" customWidth="1"/>
    <col min="4" max="4" width="23" customWidth="1"/>
    <col min="5" max="5" width="24.8984375" customWidth="1"/>
    <col min="6" max="6" width="29.19921875" customWidth="1"/>
    <col min="8" max="8" width="20.5" customWidth="1"/>
    <col min="9" max="9" width="17" customWidth="1"/>
    <col min="10" max="10" width="17.09765625" customWidth="1"/>
  </cols>
  <sheetData>
    <row r="1" spans="1:10" x14ac:dyDescent="0.5">
      <c r="A1" t="s">
        <v>10</v>
      </c>
      <c r="B1" t="s">
        <v>11</v>
      </c>
      <c r="C1" t="s">
        <v>8</v>
      </c>
      <c r="D1" t="s">
        <v>12</v>
      </c>
      <c r="E1" t="s">
        <v>13</v>
      </c>
      <c r="F1" t="s">
        <v>9</v>
      </c>
      <c r="G1" t="s">
        <v>14</v>
      </c>
      <c r="H1" t="s">
        <v>15</v>
      </c>
      <c r="I1" t="s">
        <v>17</v>
      </c>
      <c r="J1" t="s">
        <v>18</v>
      </c>
    </row>
    <row r="2" spans="1:10" x14ac:dyDescent="0.5">
      <c r="A2">
        <v>2.25</v>
      </c>
      <c r="B2">
        <v>1.3</v>
      </c>
      <c r="C2">
        <f>A2^3</f>
        <v>11.390625</v>
      </c>
      <c r="D2">
        <f>C2/C23</f>
        <v>4.8015121227060552E-2</v>
      </c>
      <c r="E2">
        <f>59*D2</f>
        <v>2.8328921523965724</v>
      </c>
      <c r="F2">
        <f>(6*E2/3.142)^(1/3)</f>
        <v>1.7554630946873755</v>
      </c>
      <c r="G2">
        <f>B2^3</f>
        <v>2.1970000000000005</v>
      </c>
      <c r="H2">
        <f>G2/34.6808</f>
        <v>6.3349173029457237E-2</v>
      </c>
      <c r="I2">
        <f>54.5*H2</f>
        <v>3.4525299301054195</v>
      </c>
      <c r="J2">
        <f>(6*I2/3.142)^(1/3)</f>
        <v>1.8751132699850617</v>
      </c>
    </row>
    <row r="3" spans="1:10" x14ac:dyDescent="0.5">
      <c r="A3">
        <v>2.2799999999999998</v>
      </c>
      <c r="B3">
        <v>1.25</v>
      </c>
      <c r="C3">
        <f t="shared" ref="C3:C21" si="0">A3^3</f>
        <v>11.852351999999998</v>
      </c>
      <c r="D3">
        <f>C3/C23</f>
        <v>4.9961447954418085E-2</v>
      </c>
      <c r="E3">
        <f t="shared" ref="E3:E21" si="1">59*D3</f>
        <v>2.9477254293106672</v>
      </c>
      <c r="F3">
        <f t="shared" ref="F3:F21" si="2">(6*E3/3.142)^(1/3)</f>
        <v>1.7788692692832073</v>
      </c>
      <c r="G3">
        <f t="shared" ref="G3:G21" si="3">B3^3</f>
        <v>1.953125</v>
      </c>
      <c r="H3">
        <f t="shared" ref="H3:H21" si="4">G3/34.6808</f>
        <v>5.6317184148001201E-2</v>
      </c>
      <c r="I3">
        <f t="shared" ref="I3:I21" si="5">54.5*H3</f>
        <v>3.0692865360660653</v>
      </c>
      <c r="J3">
        <f t="shared" ref="J3:J21" si="6">(6*I3/3.142)^(1/3)</f>
        <v>1.8029935288317898</v>
      </c>
    </row>
    <row r="4" spans="1:10" x14ac:dyDescent="0.5">
      <c r="A4">
        <v>2.4</v>
      </c>
      <c r="B4">
        <v>1</v>
      </c>
      <c r="C4">
        <f t="shared" si="0"/>
        <v>13.824</v>
      </c>
      <c r="D4">
        <f>C4/C23</f>
        <v>5.8272573791419272E-2</v>
      </c>
      <c r="E4">
        <f t="shared" si="1"/>
        <v>3.438081853693737</v>
      </c>
      <c r="F4">
        <f t="shared" si="2"/>
        <v>1.872493967666534</v>
      </c>
      <c r="G4">
        <f t="shared" si="3"/>
        <v>1</v>
      </c>
      <c r="H4">
        <f t="shared" si="4"/>
        <v>2.8834398283776617E-2</v>
      </c>
      <c r="I4">
        <f t="shared" si="5"/>
        <v>1.5714747064658257</v>
      </c>
      <c r="J4">
        <f t="shared" si="6"/>
        <v>1.4423948230654318</v>
      </c>
    </row>
    <row r="5" spans="1:10" x14ac:dyDescent="0.5">
      <c r="A5">
        <v>2.2999999999999998</v>
      </c>
      <c r="B5">
        <v>1.05</v>
      </c>
      <c r="C5">
        <f t="shared" si="0"/>
        <v>12.166999999999996</v>
      </c>
      <c r="D5">
        <f>C5/C23</f>
        <v>5.1287789736704142E-2</v>
      </c>
      <c r="E5">
        <f t="shared" si="1"/>
        <v>3.0259795944655443</v>
      </c>
      <c r="F5">
        <f t="shared" si="2"/>
        <v>1.7944733856804282</v>
      </c>
      <c r="G5">
        <f t="shared" si="3"/>
        <v>1.1576250000000001</v>
      </c>
      <c r="H5">
        <f t="shared" si="4"/>
        <v>3.3379420313256906E-2</v>
      </c>
      <c r="I5">
        <f t="shared" si="5"/>
        <v>1.8191784070725014</v>
      </c>
      <c r="J5">
        <f t="shared" si="6"/>
        <v>1.5145145642187037</v>
      </c>
    </row>
    <row r="6" spans="1:10" x14ac:dyDescent="0.5">
      <c r="A6">
        <v>2</v>
      </c>
      <c r="B6">
        <v>1.2</v>
      </c>
      <c r="C6">
        <f t="shared" si="0"/>
        <v>8</v>
      </c>
      <c r="D6">
        <f>C6/C23</f>
        <v>3.3722554277441703E-2</v>
      </c>
      <c r="E6">
        <f t="shared" si="1"/>
        <v>1.9896307023690605</v>
      </c>
      <c r="F6">
        <f t="shared" si="2"/>
        <v>1.5604116397221117</v>
      </c>
      <c r="G6">
        <f t="shared" si="3"/>
        <v>1.728</v>
      </c>
      <c r="H6">
        <f t="shared" si="4"/>
        <v>4.9825840234365995E-2</v>
      </c>
      <c r="I6">
        <f t="shared" si="5"/>
        <v>2.7155082927729466</v>
      </c>
      <c r="J6">
        <f t="shared" si="6"/>
        <v>1.7308737876785181</v>
      </c>
    </row>
    <row r="7" spans="1:10" x14ac:dyDescent="0.5">
      <c r="A7">
        <v>2.4</v>
      </c>
      <c r="B7">
        <v>1</v>
      </c>
      <c r="C7">
        <f t="shared" si="0"/>
        <v>13.824</v>
      </c>
      <c r="D7">
        <f>C7/C23</f>
        <v>5.8272573791419272E-2</v>
      </c>
      <c r="E7">
        <f t="shared" si="1"/>
        <v>3.438081853693737</v>
      </c>
      <c r="F7">
        <f t="shared" si="2"/>
        <v>1.872493967666534</v>
      </c>
      <c r="G7">
        <f t="shared" si="3"/>
        <v>1</v>
      </c>
      <c r="H7">
        <f t="shared" si="4"/>
        <v>2.8834398283776617E-2</v>
      </c>
      <c r="I7">
        <f t="shared" si="5"/>
        <v>1.5714747064658257</v>
      </c>
      <c r="J7">
        <f t="shared" si="6"/>
        <v>1.4423948230654318</v>
      </c>
    </row>
    <row r="8" spans="1:10" x14ac:dyDescent="0.5">
      <c r="A8">
        <v>2.4</v>
      </c>
      <c r="B8">
        <v>1.2</v>
      </c>
      <c r="C8">
        <f t="shared" si="0"/>
        <v>13.824</v>
      </c>
      <c r="D8">
        <f>C8/C23</f>
        <v>5.8272573791419272E-2</v>
      </c>
      <c r="E8">
        <f t="shared" si="1"/>
        <v>3.438081853693737</v>
      </c>
      <c r="F8">
        <f t="shared" si="2"/>
        <v>1.872493967666534</v>
      </c>
      <c r="G8">
        <f t="shared" si="3"/>
        <v>1.728</v>
      </c>
      <c r="H8">
        <f t="shared" si="4"/>
        <v>4.9825840234365995E-2</v>
      </c>
      <c r="I8">
        <f t="shared" si="5"/>
        <v>2.7155082927729466</v>
      </c>
      <c r="J8">
        <f t="shared" si="6"/>
        <v>1.7308737876785181</v>
      </c>
    </row>
    <row r="9" spans="1:10" x14ac:dyDescent="0.5">
      <c r="A9">
        <v>2.1</v>
      </c>
      <c r="B9">
        <v>1.3</v>
      </c>
      <c r="C9">
        <f t="shared" si="0"/>
        <v>9.261000000000001</v>
      </c>
      <c r="D9">
        <f>C9/C23</f>
        <v>3.9038071895423458E-2</v>
      </c>
      <c r="E9">
        <f t="shared" si="1"/>
        <v>2.3032462418299842</v>
      </c>
      <c r="F9">
        <f t="shared" si="2"/>
        <v>1.6384322217082172</v>
      </c>
      <c r="G9">
        <f t="shared" si="3"/>
        <v>2.1970000000000005</v>
      </c>
      <c r="H9">
        <f t="shared" si="4"/>
        <v>6.3349173029457237E-2</v>
      </c>
      <c r="I9">
        <f t="shared" si="5"/>
        <v>3.4525299301054195</v>
      </c>
      <c r="J9">
        <f t="shared" si="6"/>
        <v>1.8751132699850617</v>
      </c>
    </row>
    <row r="10" spans="1:10" x14ac:dyDescent="0.5">
      <c r="A10">
        <v>2.4</v>
      </c>
      <c r="B10">
        <v>1.45</v>
      </c>
      <c r="C10">
        <f t="shared" si="0"/>
        <v>13.824</v>
      </c>
      <c r="D10">
        <f>C10/C23</f>
        <v>5.8272573791419272E-2</v>
      </c>
      <c r="E10">
        <f t="shared" si="1"/>
        <v>3.438081853693737</v>
      </c>
      <c r="F10">
        <f t="shared" si="2"/>
        <v>1.872493967666534</v>
      </c>
      <c r="G10">
        <f t="shared" si="3"/>
        <v>3.0486249999999999</v>
      </c>
      <c r="H10">
        <f t="shared" si="4"/>
        <v>8.7905267467878481E-2</v>
      </c>
      <c r="I10">
        <f t="shared" si="5"/>
        <v>4.7908370769993773</v>
      </c>
      <c r="J10">
        <f t="shared" si="6"/>
        <v>2.0914724934448761</v>
      </c>
    </row>
    <row r="11" spans="1:10" x14ac:dyDescent="0.5">
      <c r="A11">
        <v>2.2000000000000002</v>
      </c>
      <c r="B11">
        <v>1.1000000000000001</v>
      </c>
      <c r="C11">
        <f t="shared" si="0"/>
        <v>10.648000000000003</v>
      </c>
      <c r="D11">
        <f>C11/C23</f>
        <v>4.4884719743274924E-2</v>
      </c>
      <c r="E11">
        <f t="shared" si="1"/>
        <v>2.6481984648532206</v>
      </c>
      <c r="F11">
        <f t="shared" si="2"/>
        <v>1.716452803694323</v>
      </c>
      <c r="G11">
        <f t="shared" si="3"/>
        <v>1.3310000000000004</v>
      </c>
      <c r="H11">
        <f t="shared" si="4"/>
        <v>3.8378584115706688E-2</v>
      </c>
      <c r="I11">
        <f t="shared" si="5"/>
        <v>2.0916328343060147</v>
      </c>
      <c r="J11">
        <f t="shared" si="6"/>
        <v>1.5866343053719754</v>
      </c>
    </row>
    <row r="12" spans="1:10" x14ac:dyDescent="0.5">
      <c r="A12" s="1">
        <f>AVERAGE(A2:A11)</f>
        <v>2.2730000000000001</v>
      </c>
      <c r="B12">
        <v>1.3</v>
      </c>
      <c r="C12">
        <v>11.390625</v>
      </c>
      <c r="D12">
        <v>4.8015121227060552E-2</v>
      </c>
      <c r="E12">
        <f t="shared" si="1"/>
        <v>2.8328921523965724</v>
      </c>
      <c r="F12">
        <f t="shared" si="2"/>
        <v>1.7554630946873755</v>
      </c>
      <c r="G12">
        <f t="shared" si="3"/>
        <v>2.1970000000000005</v>
      </c>
      <c r="H12">
        <f t="shared" si="4"/>
        <v>6.3349173029457237E-2</v>
      </c>
      <c r="I12">
        <f t="shared" si="5"/>
        <v>3.4525299301054195</v>
      </c>
      <c r="J12">
        <f t="shared" si="6"/>
        <v>1.8751132699850617</v>
      </c>
    </row>
    <row r="13" spans="1:10" x14ac:dyDescent="0.5">
      <c r="B13">
        <v>1.25</v>
      </c>
      <c r="C13">
        <v>11.852351999999998</v>
      </c>
      <c r="D13">
        <v>4.9961447954418085E-2</v>
      </c>
      <c r="E13">
        <f t="shared" si="1"/>
        <v>2.9477254293106672</v>
      </c>
      <c r="F13">
        <f t="shared" si="2"/>
        <v>1.7788692692832073</v>
      </c>
      <c r="G13">
        <f t="shared" si="3"/>
        <v>1.953125</v>
      </c>
      <c r="H13">
        <f t="shared" si="4"/>
        <v>5.6317184148001201E-2</v>
      </c>
      <c r="I13">
        <f t="shared" si="5"/>
        <v>3.0692865360660653</v>
      </c>
      <c r="J13">
        <f t="shared" si="6"/>
        <v>1.8029935288317898</v>
      </c>
    </row>
    <row r="14" spans="1:10" x14ac:dyDescent="0.5">
      <c r="B14">
        <v>1</v>
      </c>
      <c r="C14">
        <v>13.824</v>
      </c>
      <c r="D14">
        <v>5.8272573791419272E-2</v>
      </c>
      <c r="E14">
        <f t="shared" si="1"/>
        <v>3.438081853693737</v>
      </c>
      <c r="F14">
        <f t="shared" si="2"/>
        <v>1.872493967666534</v>
      </c>
      <c r="G14">
        <f t="shared" si="3"/>
        <v>1</v>
      </c>
      <c r="H14">
        <f t="shared" si="4"/>
        <v>2.8834398283776617E-2</v>
      </c>
      <c r="I14">
        <f t="shared" si="5"/>
        <v>1.5714747064658257</v>
      </c>
      <c r="J14">
        <f t="shared" si="6"/>
        <v>1.4423948230654318</v>
      </c>
    </row>
    <row r="15" spans="1:10" x14ac:dyDescent="0.5">
      <c r="B15">
        <v>1.05</v>
      </c>
      <c r="C15">
        <v>12.166999999999996</v>
      </c>
      <c r="D15">
        <v>5.1287789736704142E-2</v>
      </c>
      <c r="E15">
        <f t="shared" si="1"/>
        <v>3.0259795944655443</v>
      </c>
      <c r="F15">
        <f t="shared" si="2"/>
        <v>1.7944733856804282</v>
      </c>
      <c r="G15">
        <f t="shared" si="3"/>
        <v>1.1576250000000001</v>
      </c>
      <c r="H15">
        <f t="shared" si="4"/>
        <v>3.3379420313256906E-2</v>
      </c>
      <c r="I15">
        <f t="shared" si="5"/>
        <v>1.8191784070725014</v>
      </c>
      <c r="J15">
        <f t="shared" si="6"/>
        <v>1.5145145642187037</v>
      </c>
    </row>
    <row r="16" spans="1:10" x14ac:dyDescent="0.5">
      <c r="B16">
        <v>1.2</v>
      </c>
      <c r="C16">
        <v>8</v>
      </c>
      <c r="D16">
        <v>3.3722554277441703E-2</v>
      </c>
      <c r="E16">
        <f t="shared" si="1"/>
        <v>1.9896307023690605</v>
      </c>
      <c r="F16">
        <f t="shared" si="2"/>
        <v>1.5604116397221117</v>
      </c>
      <c r="G16">
        <f t="shared" si="3"/>
        <v>1.728</v>
      </c>
      <c r="H16">
        <f t="shared" si="4"/>
        <v>4.9825840234365995E-2</v>
      </c>
      <c r="I16">
        <f t="shared" si="5"/>
        <v>2.7155082927729466</v>
      </c>
      <c r="J16">
        <f t="shared" si="6"/>
        <v>1.7308737876785181</v>
      </c>
    </row>
    <row r="17" spans="1:10" x14ac:dyDescent="0.5">
      <c r="B17">
        <v>1</v>
      </c>
      <c r="C17">
        <v>13.824</v>
      </c>
      <c r="D17">
        <v>5.8272573791419272E-2</v>
      </c>
      <c r="E17">
        <f t="shared" si="1"/>
        <v>3.438081853693737</v>
      </c>
      <c r="F17">
        <f t="shared" si="2"/>
        <v>1.872493967666534</v>
      </c>
      <c r="G17">
        <f t="shared" si="3"/>
        <v>1</v>
      </c>
      <c r="H17">
        <f t="shared" si="4"/>
        <v>2.8834398283776617E-2</v>
      </c>
      <c r="I17">
        <f t="shared" si="5"/>
        <v>1.5714747064658257</v>
      </c>
      <c r="J17">
        <f t="shared" si="6"/>
        <v>1.4423948230654318</v>
      </c>
    </row>
    <row r="18" spans="1:10" x14ac:dyDescent="0.5">
      <c r="B18">
        <v>1.2</v>
      </c>
      <c r="C18">
        <v>13.824</v>
      </c>
      <c r="D18">
        <v>5.8272573791419272E-2</v>
      </c>
      <c r="E18">
        <f t="shared" si="1"/>
        <v>3.438081853693737</v>
      </c>
      <c r="F18">
        <f t="shared" si="2"/>
        <v>1.872493967666534</v>
      </c>
      <c r="G18">
        <f t="shared" si="3"/>
        <v>1.728</v>
      </c>
      <c r="H18">
        <f t="shared" si="4"/>
        <v>4.9825840234365995E-2</v>
      </c>
      <c r="I18">
        <f t="shared" si="5"/>
        <v>2.7155082927729466</v>
      </c>
      <c r="J18">
        <f t="shared" si="6"/>
        <v>1.7308737876785181</v>
      </c>
    </row>
    <row r="19" spans="1:10" x14ac:dyDescent="0.5">
      <c r="B19">
        <v>1.3</v>
      </c>
      <c r="C19">
        <v>9.261000000000001</v>
      </c>
      <c r="D19">
        <v>3.9038071895423458E-2</v>
      </c>
      <c r="E19">
        <f t="shared" si="1"/>
        <v>2.3032462418299842</v>
      </c>
      <c r="F19">
        <f t="shared" si="2"/>
        <v>1.6384322217082172</v>
      </c>
      <c r="G19">
        <f t="shared" si="3"/>
        <v>2.1970000000000005</v>
      </c>
      <c r="H19">
        <f t="shared" si="4"/>
        <v>6.3349173029457237E-2</v>
      </c>
      <c r="I19">
        <f t="shared" si="5"/>
        <v>3.4525299301054195</v>
      </c>
      <c r="J19">
        <f t="shared" si="6"/>
        <v>1.8751132699850617</v>
      </c>
    </row>
    <row r="20" spans="1:10" x14ac:dyDescent="0.5">
      <c r="B20">
        <v>1.45</v>
      </c>
      <c r="C20">
        <v>13.824</v>
      </c>
      <c r="D20">
        <v>5.8272573791419272E-2</v>
      </c>
      <c r="E20">
        <f t="shared" si="1"/>
        <v>3.438081853693737</v>
      </c>
      <c r="F20">
        <f t="shared" si="2"/>
        <v>1.872493967666534</v>
      </c>
      <c r="G20">
        <f t="shared" si="3"/>
        <v>3.0486249999999999</v>
      </c>
      <c r="H20">
        <f t="shared" si="4"/>
        <v>8.7905267467878481E-2</v>
      </c>
      <c r="I20">
        <f t="shared" si="5"/>
        <v>4.7908370769993773</v>
      </c>
      <c r="J20">
        <f t="shared" si="6"/>
        <v>2.0914724934448761</v>
      </c>
    </row>
    <row r="21" spans="1:10" x14ac:dyDescent="0.5">
      <c r="B21">
        <v>1.1000000000000001</v>
      </c>
      <c r="C21">
        <v>10.648000000000003</v>
      </c>
      <c r="D21">
        <v>4.4884719743274924E-2</v>
      </c>
      <c r="E21">
        <f t="shared" si="1"/>
        <v>2.6481984648532206</v>
      </c>
      <c r="F21">
        <f t="shared" si="2"/>
        <v>1.716452803694323</v>
      </c>
      <c r="G21">
        <f t="shared" si="3"/>
        <v>1.3310000000000004</v>
      </c>
      <c r="H21">
        <f t="shared" si="4"/>
        <v>3.8378584115706688E-2</v>
      </c>
      <c r="I21">
        <f t="shared" si="5"/>
        <v>2.0916328343060147</v>
      </c>
      <c r="J21">
        <f t="shared" si="6"/>
        <v>1.5866343053719754</v>
      </c>
    </row>
    <row r="22" spans="1:10" x14ac:dyDescent="0.5">
      <c r="B22" s="1">
        <f>AVERAGE(B2:B21)</f>
        <v>1.1850000000000001</v>
      </c>
      <c r="F22" s="1">
        <f>AVERAGE(F2:F21)</f>
        <v>1.7734078285441801</v>
      </c>
      <c r="J22" s="1">
        <f>AVERAGE(J2:J21)</f>
        <v>1.7092378653325366</v>
      </c>
    </row>
    <row r="23" spans="1:10" x14ac:dyDescent="0.5">
      <c r="B23" t="s">
        <v>19</v>
      </c>
      <c r="C23" s="1">
        <f>SUM(C2:C21)</f>
        <v>237.22995400000002</v>
      </c>
      <c r="F23" t="s">
        <v>20</v>
      </c>
      <c r="G23" s="1">
        <f>SUM(G2:G21)</f>
        <v>34.680750000000003</v>
      </c>
    </row>
    <row r="25" spans="1:10" x14ac:dyDescent="0.5">
      <c r="A25" t="s">
        <v>2</v>
      </c>
      <c r="B25" t="s">
        <v>3</v>
      </c>
      <c r="C25" t="s">
        <v>5</v>
      </c>
      <c r="D25" t="s">
        <v>16</v>
      </c>
      <c r="E25" t="s">
        <v>7</v>
      </c>
    </row>
    <row r="26" spans="1:10" x14ac:dyDescent="0.5">
      <c r="A26">
        <v>118</v>
      </c>
      <c r="B26">
        <v>109</v>
      </c>
      <c r="C26">
        <f>2000*0.001</f>
        <v>2</v>
      </c>
      <c r="D26">
        <f>118/2</f>
        <v>59</v>
      </c>
      <c r="E26">
        <f>109/2</f>
        <v>54.5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900ED-5EDA-40DC-9DFD-124912632D88}">
  <dimension ref="A1:J47"/>
  <sheetViews>
    <sheetView tabSelected="1" workbookViewId="0">
      <selection activeCell="C17" sqref="C17"/>
    </sheetView>
  </sheetViews>
  <sheetFormatPr defaultRowHeight="18" x14ac:dyDescent="0.5"/>
  <cols>
    <col min="1" max="1" width="24.19921875" customWidth="1"/>
    <col min="2" max="2" width="22" customWidth="1"/>
    <col min="3" max="3" width="21.796875" customWidth="1"/>
    <col min="4" max="4" width="20.59765625" customWidth="1"/>
    <col min="5" max="5" width="17.8984375" customWidth="1"/>
    <col min="6" max="6" width="13.5" customWidth="1"/>
    <col min="9" max="9" width="12.69921875" customWidth="1"/>
  </cols>
  <sheetData>
    <row r="1" spans="1:10" x14ac:dyDescent="0.5">
      <c r="A1" t="s">
        <v>10</v>
      </c>
      <c r="B1" t="s">
        <v>11</v>
      </c>
      <c r="C1" t="s">
        <v>8</v>
      </c>
      <c r="D1" t="s">
        <v>12</v>
      </c>
      <c r="E1" t="s">
        <v>13</v>
      </c>
      <c r="F1" t="s">
        <v>9</v>
      </c>
      <c r="G1" t="s">
        <v>14</v>
      </c>
      <c r="H1" t="s">
        <v>15</v>
      </c>
      <c r="I1" t="s">
        <v>17</v>
      </c>
      <c r="J1" t="s">
        <v>18</v>
      </c>
    </row>
    <row r="2" spans="1:10" x14ac:dyDescent="0.5">
      <c r="A2">
        <v>2.2000000000000002</v>
      </c>
      <c r="B2">
        <v>1.1000000000000001</v>
      </c>
      <c r="C2">
        <f>A2^3</f>
        <v>10.648000000000003</v>
      </c>
      <c r="D2">
        <f>C2/132.055</f>
        <v>8.0633069554352371E-2</v>
      </c>
      <c r="E2">
        <f>47.5*D2</f>
        <v>3.8300708038317377</v>
      </c>
      <c r="F2">
        <f>(E2*6/3.142)^(1/3)</f>
        <v>1.9411121325416505</v>
      </c>
      <c r="G2">
        <f>B2^3</f>
        <v>1.3310000000000004</v>
      </c>
      <c r="H2">
        <f>G2/51.2385</f>
        <v>2.5976560594084534E-2</v>
      </c>
      <c r="I2">
        <f>45.4*H2</f>
        <v>1.1793358509714378</v>
      </c>
      <c r="J2">
        <f>(6*I2/3.142)^(1/3)</f>
        <v>1.3107731104075009</v>
      </c>
    </row>
    <row r="3" spans="1:10" x14ac:dyDescent="0.5">
      <c r="A3">
        <v>2.6</v>
      </c>
      <c r="B3">
        <v>0.9</v>
      </c>
      <c r="C3">
        <f t="shared" ref="C3:C11" si="0">A3^3</f>
        <v>17.576000000000004</v>
      </c>
      <c r="D3">
        <f t="shared" ref="D3:D11" si="1">C3/132.055</f>
        <v>0.13309605846048997</v>
      </c>
      <c r="E3">
        <f t="shared" ref="E3:E11" si="2">47.5*D3</f>
        <v>6.3220627768732731</v>
      </c>
      <c r="F3">
        <f t="shared" ref="F3:F11" si="3">(E3*6/3.142)^(1/3)</f>
        <v>2.294041611185587</v>
      </c>
      <c r="G3">
        <f t="shared" ref="G3:G41" si="4">B3^3</f>
        <v>0.72900000000000009</v>
      </c>
      <c r="H3">
        <f t="shared" ref="H3:H41" si="5">G3/51.2385</f>
        <v>1.422758277467139E-2</v>
      </c>
      <c r="I3">
        <f t="shared" ref="I3:I41" si="6">45.4*H3</f>
        <v>0.64593225797008114</v>
      </c>
      <c r="J3">
        <f t="shared" ref="J3:J41" si="7">(6*I3/3.142)^(1/3)</f>
        <v>1.072450726697046</v>
      </c>
    </row>
    <row r="4" spans="1:10" x14ac:dyDescent="0.5">
      <c r="A4">
        <v>2.2999999999999998</v>
      </c>
      <c r="B4">
        <v>1.1000000000000001</v>
      </c>
      <c r="C4">
        <f t="shared" si="0"/>
        <v>12.166999999999996</v>
      </c>
      <c r="D4">
        <f t="shared" si="1"/>
        <v>9.2135852485706674E-2</v>
      </c>
      <c r="E4">
        <f t="shared" si="2"/>
        <v>4.3764529930710667</v>
      </c>
      <c r="F4">
        <f t="shared" si="3"/>
        <v>2.0293445022026342</v>
      </c>
      <c r="G4">
        <f t="shared" si="4"/>
        <v>1.3310000000000004</v>
      </c>
      <c r="H4">
        <f t="shared" si="5"/>
        <v>2.5976560594084534E-2</v>
      </c>
      <c r="I4">
        <f t="shared" si="6"/>
        <v>1.1793358509714378</v>
      </c>
      <c r="J4">
        <f t="shared" si="7"/>
        <v>1.3107731104075009</v>
      </c>
    </row>
    <row r="5" spans="1:10" x14ac:dyDescent="0.5">
      <c r="A5">
        <v>2.2999999999999998</v>
      </c>
      <c r="B5">
        <v>1.4</v>
      </c>
      <c r="C5">
        <f t="shared" si="0"/>
        <v>12.166999999999996</v>
      </c>
      <c r="D5">
        <f t="shared" si="1"/>
        <v>9.2135852485706674E-2</v>
      </c>
      <c r="E5">
        <f t="shared" si="2"/>
        <v>4.3764529930710667</v>
      </c>
      <c r="F5">
        <f t="shared" si="3"/>
        <v>2.0293445022026342</v>
      </c>
      <c r="G5">
        <f t="shared" si="4"/>
        <v>2.7439999999999993</v>
      </c>
      <c r="H5">
        <f t="shared" si="5"/>
        <v>5.355348029313893E-2</v>
      </c>
      <c r="I5">
        <f t="shared" si="6"/>
        <v>2.4313280053085076</v>
      </c>
      <c r="J5">
        <f t="shared" si="7"/>
        <v>1.6682566859731824</v>
      </c>
    </row>
    <row r="6" spans="1:10" x14ac:dyDescent="0.5">
      <c r="A6">
        <v>2.4</v>
      </c>
      <c r="B6">
        <v>0.9</v>
      </c>
      <c r="C6">
        <f t="shared" si="0"/>
        <v>13.824</v>
      </c>
      <c r="D6">
        <f t="shared" si="1"/>
        <v>0.10468365453788193</v>
      </c>
      <c r="E6">
        <f t="shared" si="2"/>
        <v>4.9724735905493915</v>
      </c>
      <c r="F6">
        <f t="shared" si="3"/>
        <v>2.1175768718636188</v>
      </c>
      <c r="G6">
        <f t="shared" si="4"/>
        <v>0.72900000000000009</v>
      </c>
      <c r="H6">
        <f t="shared" si="5"/>
        <v>1.422758277467139E-2</v>
      </c>
      <c r="I6">
        <f t="shared" si="6"/>
        <v>0.64593225797008114</v>
      </c>
      <c r="J6">
        <f t="shared" si="7"/>
        <v>1.072450726697046</v>
      </c>
    </row>
    <row r="7" spans="1:10" x14ac:dyDescent="0.5">
      <c r="A7">
        <v>2.6</v>
      </c>
      <c r="B7">
        <v>1.05</v>
      </c>
      <c r="C7">
        <f t="shared" si="0"/>
        <v>17.576000000000004</v>
      </c>
      <c r="D7">
        <f t="shared" si="1"/>
        <v>0.13309605846048997</v>
      </c>
      <c r="E7">
        <f t="shared" si="2"/>
        <v>6.3220627768732731</v>
      </c>
      <c r="F7">
        <f t="shared" si="3"/>
        <v>2.294041611185587</v>
      </c>
      <c r="G7">
        <f t="shared" si="4"/>
        <v>1.1576250000000001</v>
      </c>
      <c r="H7">
        <f t="shared" si="5"/>
        <v>2.2592874498667995E-2</v>
      </c>
      <c r="I7">
        <f t="shared" si="6"/>
        <v>1.0257165022395269</v>
      </c>
      <c r="J7">
        <f t="shared" si="7"/>
        <v>1.251192514479887</v>
      </c>
    </row>
    <row r="8" spans="1:10" x14ac:dyDescent="0.5">
      <c r="A8">
        <v>2.4</v>
      </c>
      <c r="B8">
        <v>1.2</v>
      </c>
      <c r="C8">
        <f t="shared" si="0"/>
        <v>13.824</v>
      </c>
      <c r="D8">
        <f t="shared" si="1"/>
        <v>0.10468365453788193</v>
      </c>
      <c r="E8">
        <f t="shared" si="2"/>
        <v>4.9724735905493915</v>
      </c>
      <c r="F8">
        <f t="shared" si="3"/>
        <v>2.1175768718636188</v>
      </c>
      <c r="G8">
        <f t="shared" si="4"/>
        <v>1.728</v>
      </c>
      <c r="H8">
        <f t="shared" si="5"/>
        <v>3.3724640651072925E-2</v>
      </c>
      <c r="I8">
        <f t="shared" si="6"/>
        <v>1.5310986855587108</v>
      </c>
      <c r="J8">
        <f t="shared" si="7"/>
        <v>1.429934302262728</v>
      </c>
    </row>
    <row r="9" spans="1:10" x14ac:dyDescent="0.5">
      <c r="A9">
        <v>2.5</v>
      </c>
      <c r="B9">
        <v>1.1000000000000001</v>
      </c>
      <c r="C9">
        <f t="shared" si="0"/>
        <v>15.625</v>
      </c>
      <c r="D9">
        <f t="shared" si="1"/>
        <v>0.11832191132482676</v>
      </c>
      <c r="E9">
        <f t="shared" si="2"/>
        <v>5.6202907879292709</v>
      </c>
      <c r="F9">
        <f t="shared" si="3"/>
        <v>2.2058092415246024</v>
      </c>
      <c r="G9">
        <f t="shared" si="4"/>
        <v>1.3310000000000004</v>
      </c>
      <c r="H9">
        <f t="shared" si="5"/>
        <v>2.5976560594084534E-2</v>
      </c>
      <c r="I9">
        <f t="shared" si="6"/>
        <v>1.1793358509714378</v>
      </c>
      <c r="J9">
        <f t="shared" si="7"/>
        <v>1.3107731104075009</v>
      </c>
    </row>
    <row r="10" spans="1:10" x14ac:dyDescent="0.5">
      <c r="A10">
        <v>2</v>
      </c>
      <c r="B10">
        <v>1</v>
      </c>
      <c r="C10">
        <f t="shared" si="0"/>
        <v>8</v>
      </c>
      <c r="D10">
        <f t="shared" si="1"/>
        <v>6.0580818598311305E-2</v>
      </c>
      <c r="E10">
        <f t="shared" si="2"/>
        <v>2.8775888834197869</v>
      </c>
      <c r="F10">
        <f t="shared" si="3"/>
        <v>1.764647393219682</v>
      </c>
      <c r="G10">
        <f t="shared" si="4"/>
        <v>1</v>
      </c>
      <c r="H10">
        <f t="shared" si="5"/>
        <v>1.9516574450852385E-2</v>
      </c>
      <c r="I10">
        <f t="shared" si="6"/>
        <v>0.8860524800686983</v>
      </c>
      <c r="J10">
        <f t="shared" si="7"/>
        <v>1.1916119185522733</v>
      </c>
    </row>
    <row r="11" spans="1:10" x14ac:dyDescent="0.5">
      <c r="A11">
        <v>2.2000000000000002</v>
      </c>
      <c r="B11">
        <v>0.9</v>
      </c>
      <c r="C11">
        <f t="shared" si="0"/>
        <v>10.648000000000003</v>
      </c>
      <c r="D11">
        <f t="shared" si="1"/>
        <v>8.0633069554352371E-2</v>
      </c>
      <c r="E11">
        <f t="shared" si="2"/>
        <v>3.8300708038317377</v>
      </c>
      <c r="F11">
        <f t="shared" si="3"/>
        <v>1.9411121325416505</v>
      </c>
      <c r="G11">
        <f t="shared" si="4"/>
        <v>0.72900000000000009</v>
      </c>
      <c r="H11">
        <f t="shared" si="5"/>
        <v>1.422758277467139E-2</v>
      </c>
      <c r="I11">
        <f t="shared" si="6"/>
        <v>0.64593225797008114</v>
      </c>
      <c r="J11">
        <f t="shared" si="7"/>
        <v>1.072450726697046</v>
      </c>
    </row>
    <row r="12" spans="1:10" x14ac:dyDescent="0.5">
      <c r="A12" s="1">
        <f>AVERAGE(A2:A11)</f>
        <v>2.35</v>
      </c>
      <c r="B12">
        <v>1.1000000000000001</v>
      </c>
      <c r="C12" s="1">
        <f>SUM(C2:C11)</f>
        <v>132.05500000000001</v>
      </c>
      <c r="G12">
        <f t="shared" si="4"/>
        <v>1.3310000000000004</v>
      </c>
      <c r="H12">
        <f t="shared" si="5"/>
        <v>2.5976560594084534E-2</v>
      </c>
      <c r="I12">
        <f t="shared" si="6"/>
        <v>1.1793358509714378</v>
      </c>
      <c r="J12">
        <f t="shared" si="7"/>
        <v>1.3107731104075009</v>
      </c>
    </row>
    <row r="13" spans="1:10" x14ac:dyDescent="0.5">
      <c r="B13">
        <v>0.9</v>
      </c>
      <c r="G13">
        <f t="shared" si="4"/>
        <v>0.72900000000000009</v>
      </c>
      <c r="H13">
        <f t="shared" si="5"/>
        <v>1.422758277467139E-2</v>
      </c>
      <c r="I13">
        <f t="shared" si="6"/>
        <v>0.64593225797008114</v>
      </c>
      <c r="J13">
        <f t="shared" si="7"/>
        <v>1.072450726697046</v>
      </c>
    </row>
    <row r="14" spans="1:10" x14ac:dyDescent="0.5">
      <c r="B14">
        <v>1.1000000000000001</v>
      </c>
      <c r="G14">
        <f t="shared" si="4"/>
        <v>1.3310000000000004</v>
      </c>
      <c r="H14">
        <f t="shared" si="5"/>
        <v>2.5976560594084534E-2</v>
      </c>
      <c r="I14">
        <f t="shared" si="6"/>
        <v>1.1793358509714378</v>
      </c>
      <c r="J14">
        <f t="shared" si="7"/>
        <v>1.3107731104075009</v>
      </c>
    </row>
    <row r="15" spans="1:10" x14ac:dyDescent="0.5">
      <c r="B15">
        <v>1.4</v>
      </c>
      <c r="G15">
        <f t="shared" si="4"/>
        <v>2.7439999999999993</v>
      </c>
      <c r="H15">
        <f t="shared" si="5"/>
        <v>5.355348029313893E-2</v>
      </c>
      <c r="I15">
        <f t="shared" si="6"/>
        <v>2.4313280053085076</v>
      </c>
      <c r="J15">
        <f t="shared" si="7"/>
        <v>1.6682566859731824</v>
      </c>
    </row>
    <row r="16" spans="1:10" x14ac:dyDescent="0.5">
      <c r="B16">
        <v>0.9</v>
      </c>
      <c r="G16">
        <f t="shared" si="4"/>
        <v>0.72900000000000009</v>
      </c>
      <c r="H16">
        <f t="shared" si="5"/>
        <v>1.422758277467139E-2</v>
      </c>
      <c r="I16">
        <f t="shared" si="6"/>
        <v>0.64593225797008114</v>
      </c>
      <c r="J16">
        <f t="shared" si="7"/>
        <v>1.072450726697046</v>
      </c>
    </row>
    <row r="17" spans="2:10" x14ac:dyDescent="0.5">
      <c r="B17">
        <v>1.05</v>
      </c>
      <c r="G17">
        <f t="shared" si="4"/>
        <v>1.1576250000000001</v>
      </c>
      <c r="H17">
        <f t="shared" si="5"/>
        <v>2.2592874498667995E-2</v>
      </c>
      <c r="I17">
        <f t="shared" si="6"/>
        <v>1.0257165022395269</v>
      </c>
      <c r="J17">
        <f t="shared" si="7"/>
        <v>1.251192514479887</v>
      </c>
    </row>
    <row r="18" spans="2:10" x14ac:dyDescent="0.5">
      <c r="B18">
        <v>1.2</v>
      </c>
      <c r="G18">
        <f t="shared" si="4"/>
        <v>1.728</v>
      </c>
      <c r="H18">
        <f t="shared" si="5"/>
        <v>3.3724640651072925E-2</v>
      </c>
      <c r="I18">
        <f t="shared" si="6"/>
        <v>1.5310986855587108</v>
      </c>
      <c r="J18">
        <f t="shared" si="7"/>
        <v>1.429934302262728</v>
      </c>
    </row>
    <row r="19" spans="2:10" x14ac:dyDescent="0.5">
      <c r="B19">
        <v>1.1000000000000001</v>
      </c>
      <c r="G19">
        <f t="shared" si="4"/>
        <v>1.3310000000000004</v>
      </c>
      <c r="H19">
        <f t="shared" si="5"/>
        <v>2.5976560594084534E-2</v>
      </c>
      <c r="I19">
        <f t="shared" si="6"/>
        <v>1.1793358509714378</v>
      </c>
      <c r="J19">
        <f t="shared" si="7"/>
        <v>1.3107731104075009</v>
      </c>
    </row>
    <row r="20" spans="2:10" x14ac:dyDescent="0.5">
      <c r="B20">
        <v>1</v>
      </c>
      <c r="G20">
        <f t="shared" si="4"/>
        <v>1</v>
      </c>
      <c r="H20">
        <f t="shared" si="5"/>
        <v>1.9516574450852385E-2</v>
      </c>
      <c r="I20">
        <f t="shared" si="6"/>
        <v>0.8860524800686983</v>
      </c>
      <c r="J20">
        <f t="shared" si="7"/>
        <v>1.1916119185522733</v>
      </c>
    </row>
    <row r="21" spans="2:10" x14ac:dyDescent="0.5">
      <c r="B21">
        <v>0.9</v>
      </c>
      <c r="G21">
        <f t="shared" si="4"/>
        <v>0.72900000000000009</v>
      </c>
      <c r="H21">
        <f t="shared" si="5"/>
        <v>1.422758277467139E-2</v>
      </c>
      <c r="I21">
        <f t="shared" si="6"/>
        <v>0.64593225797008114</v>
      </c>
      <c r="J21">
        <f t="shared" si="7"/>
        <v>1.072450726697046</v>
      </c>
    </row>
    <row r="22" spans="2:10" x14ac:dyDescent="0.5">
      <c r="B22">
        <v>1.1000000000000001</v>
      </c>
      <c r="F22" t="s">
        <v>21</v>
      </c>
      <c r="G22">
        <f t="shared" si="4"/>
        <v>1.3310000000000004</v>
      </c>
      <c r="H22">
        <f t="shared" si="5"/>
        <v>2.5976560594084534E-2</v>
      </c>
      <c r="I22">
        <f t="shared" si="6"/>
        <v>1.1793358509714378</v>
      </c>
      <c r="J22">
        <f t="shared" si="7"/>
        <v>1.3107731104075009</v>
      </c>
    </row>
    <row r="23" spans="2:10" x14ac:dyDescent="0.5">
      <c r="B23">
        <v>0.9</v>
      </c>
      <c r="G23">
        <f t="shared" si="4"/>
        <v>0.72900000000000009</v>
      </c>
      <c r="H23">
        <f t="shared" si="5"/>
        <v>1.422758277467139E-2</v>
      </c>
      <c r="I23">
        <f t="shared" si="6"/>
        <v>0.64593225797008114</v>
      </c>
      <c r="J23">
        <f t="shared" si="7"/>
        <v>1.072450726697046</v>
      </c>
    </row>
    <row r="24" spans="2:10" x14ac:dyDescent="0.5">
      <c r="B24">
        <v>1.1000000000000001</v>
      </c>
      <c r="G24">
        <f t="shared" si="4"/>
        <v>1.3310000000000004</v>
      </c>
      <c r="H24">
        <f t="shared" si="5"/>
        <v>2.5976560594084534E-2</v>
      </c>
      <c r="I24">
        <f t="shared" si="6"/>
        <v>1.1793358509714378</v>
      </c>
      <c r="J24">
        <f t="shared" si="7"/>
        <v>1.3107731104075009</v>
      </c>
    </row>
    <row r="25" spans="2:10" x14ac:dyDescent="0.5">
      <c r="B25">
        <v>1.4</v>
      </c>
      <c r="G25">
        <f t="shared" si="4"/>
        <v>2.7439999999999993</v>
      </c>
      <c r="H25">
        <f t="shared" si="5"/>
        <v>5.355348029313893E-2</v>
      </c>
      <c r="I25">
        <f t="shared" si="6"/>
        <v>2.4313280053085076</v>
      </c>
      <c r="J25">
        <f t="shared" si="7"/>
        <v>1.6682566859731824</v>
      </c>
    </row>
    <row r="26" spans="2:10" x14ac:dyDescent="0.5">
      <c r="B26">
        <v>0.9</v>
      </c>
      <c r="G26">
        <f t="shared" si="4"/>
        <v>0.72900000000000009</v>
      </c>
      <c r="H26">
        <f t="shared" si="5"/>
        <v>1.422758277467139E-2</v>
      </c>
      <c r="I26">
        <f t="shared" si="6"/>
        <v>0.64593225797008114</v>
      </c>
      <c r="J26">
        <f t="shared" si="7"/>
        <v>1.072450726697046</v>
      </c>
    </row>
    <row r="27" spans="2:10" x14ac:dyDescent="0.5">
      <c r="B27">
        <v>1.05</v>
      </c>
      <c r="G27">
        <f t="shared" si="4"/>
        <v>1.1576250000000001</v>
      </c>
      <c r="H27">
        <f t="shared" si="5"/>
        <v>2.2592874498667995E-2</v>
      </c>
      <c r="I27">
        <f t="shared" si="6"/>
        <v>1.0257165022395269</v>
      </c>
      <c r="J27">
        <f t="shared" si="7"/>
        <v>1.251192514479887</v>
      </c>
    </row>
    <row r="28" spans="2:10" x14ac:dyDescent="0.5">
      <c r="B28">
        <v>1.2</v>
      </c>
      <c r="G28">
        <f t="shared" si="4"/>
        <v>1.728</v>
      </c>
      <c r="H28">
        <f t="shared" si="5"/>
        <v>3.3724640651072925E-2</v>
      </c>
      <c r="I28">
        <f t="shared" si="6"/>
        <v>1.5310986855587108</v>
      </c>
      <c r="J28">
        <f t="shared" si="7"/>
        <v>1.429934302262728</v>
      </c>
    </row>
    <row r="29" spans="2:10" x14ac:dyDescent="0.5">
      <c r="B29">
        <v>1.1000000000000001</v>
      </c>
      <c r="G29">
        <f t="shared" si="4"/>
        <v>1.3310000000000004</v>
      </c>
      <c r="H29">
        <f t="shared" si="5"/>
        <v>2.5976560594084534E-2</v>
      </c>
      <c r="I29">
        <f t="shared" si="6"/>
        <v>1.1793358509714378</v>
      </c>
      <c r="J29">
        <f t="shared" si="7"/>
        <v>1.3107731104075009</v>
      </c>
    </row>
    <row r="30" spans="2:10" x14ac:dyDescent="0.5">
      <c r="B30">
        <v>1</v>
      </c>
      <c r="G30">
        <f t="shared" si="4"/>
        <v>1</v>
      </c>
      <c r="H30">
        <f t="shared" si="5"/>
        <v>1.9516574450852385E-2</v>
      </c>
      <c r="I30">
        <f t="shared" si="6"/>
        <v>0.8860524800686983</v>
      </c>
      <c r="J30">
        <f t="shared" si="7"/>
        <v>1.1916119185522733</v>
      </c>
    </row>
    <row r="31" spans="2:10" x14ac:dyDescent="0.5">
      <c r="B31">
        <v>0.9</v>
      </c>
      <c r="G31">
        <f t="shared" si="4"/>
        <v>0.72900000000000009</v>
      </c>
      <c r="H31">
        <f t="shared" si="5"/>
        <v>1.422758277467139E-2</v>
      </c>
      <c r="I31">
        <f t="shared" si="6"/>
        <v>0.64593225797008114</v>
      </c>
      <c r="J31">
        <f t="shared" si="7"/>
        <v>1.072450726697046</v>
      </c>
    </row>
    <row r="32" spans="2:10" x14ac:dyDescent="0.5">
      <c r="B32">
        <v>1.1000000000000001</v>
      </c>
      <c r="G32">
        <f t="shared" si="4"/>
        <v>1.3310000000000004</v>
      </c>
      <c r="H32">
        <f t="shared" si="5"/>
        <v>2.5976560594084534E-2</v>
      </c>
      <c r="I32">
        <f t="shared" si="6"/>
        <v>1.1793358509714378</v>
      </c>
      <c r="J32">
        <f t="shared" si="7"/>
        <v>1.3107731104075009</v>
      </c>
    </row>
    <row r="33" spans="1:10" x14ac:dyDescent="0.5">
      <c r="B33">
        <v>0.9</v>
      </c>
      <c r="G33">
        <f t="shared" si="4"/>
        <v>0.72900000000000009</v>
      </c>
      <c r="H33">
        <f t="shared" si="5"/>
        <v>1.422758277467139E-2</v>
      </c>
      <c r="I33">
        <f t="shared" si="6"/>
        <v>0.64593225797008114</v>
      </c>
      <c r="J33">
        <f t="shared" si="7"/>
        <v>1.072450726697046</v>
      </c>
    </row>
    <row r="34" spans="1:10" x14ac:dyDescent="0.5">
      <c r="B34">
        <v>1.1000000000000001</v>
      </c>
      <c r="G34">
        <f t="shared" si="4"/>
        <v>1.3310000000000004</v>
      </c>
      <c r="H34">
        <f t="shared" si="5"/>
        <v>2.5976560594084534E-2</v>
      </c>
      <c r="I34">
        <f t="shared" si="6"/>
        <v>1.1793358509714378</v>
      </c>
      <c r="J34">
        <f t="shared" si="7"/>
        <v>1.3107731104075009</v>
      </c>
    </row>
    <row r="35" spans="1:10" x14ac:dyDescent="0.5">
      <c r="B35">
        <v>1.4</v>
      </c>
      <c r="G35">
        <f t="shared" si="4"/>
        <v>2.7439999999999993</v>
      </c>
      <c r="H35">
        <f t="shared" si="5"/>
        <v>5.355348029313893E-2</v>
      </c>
      <c r="I35">
        <f t="shared" si="6"/>
        <v>2.4313280053085076</v>
      </c>
      <c r="J35">
        <f t="shared" si="7"/>
        <v>1.6682566859731824</v>
      </c>
    </row>
    <row r="36" spans="1:10" x14ac:dyDescent="0.5">
      <c r="B36">
        <v>0.9</v>
      </c>
      <c r="G36">
        <f t="shared" si="4"/>
        <v>0.72900000000000009</v>
      </c>
      <c r="H36">
        <f t="shared" si="5"/>
        <v>1.422758277467139E-2</v>
      </c>
      <c r="I36">
        <f t="shared" si="6"/>
        <v>0.64593225797008114</v>
      </c>
      <c r="J36">
        <f t="shared" si="7"/>
        <v>1.072450726697046</v>
      </c>
    </row>
    <row r="37" spans="1:10" x14ac:dyDescent="0.5">
      <c r="B37">
        <v>1.05</v>
      </c>
      <c r="G37">
        <f t="shared" si="4"/>
        <v>1.1576250000000001</v>
      </c>
      <c r="H37">
        <f t="shared" si="5"/>
        <v>2.2592874498667995E-2</v>
      </c>
      <c r="I37">
        <f t="shared" si="6"/>
        <v>1.0257165022395269</v>
      </c>
      <c r="J37">
        <f t="shared" si="7"/>
        <v>1.251192514479887</v>
      </c>
    </row>
    <row r="38" spans="1:10" x14ac:dyDescent="0.5">
      <c r="B38">
        <v>1.2</v>
      </c>
      <c r="G38">
        <f t="shared" si="4"/>
        <v>1.728</v>
      </c>
      <c r="H38">
        <f t="shared" si="5"/>
        <v>3.3724640651072925E-2</v>
      </c>
      <c r="I38">
        <f t="shared" si="6"/>
        <v>1.5310986855587108</v>
      </c>
      <c r="J38">
        <f t="shared" si="7"/>
        <v>1.429934302262728</v>
      </c>
    </row>
    <row r="39" spans="1:10" x14ac:dyDescent="0.5">
      <c r="B39">
        <v>1.1000000000000001</v>
      </c>
      <c r="G39">
        <f t="shared" si="4"/>
        <v>1.3310000000000004</v>
      </c>
      <c r="H39">
        <f t="shared" si="5"/>
        <v>2.5976560594084534E-2</v>
      </c>
      <c r="I39">
        <f t="shared" si="6"/>
        <v>1.1793358509714378</v>
      </c>
      <c r="J39">
        <f t="shared" si="7"/>
        <v>1.3107731104075009</v>
      </c>
    </row>
    <row r="40" spans="1:10" x14ac:dyDescent="0.5">
      <c r="B40">
        <v>1</v>
      </c>
      <c r="G40">
        <f t="shared" si="4"/>
        <v>1</v>
      </c>
      <c r="H40">
        <f t="shared" si="5"/>
        <v>1.9516574450852385E-2</v>
      </c>
      <c r="I40">
        <f t="shared" si="6"/>
        <v>0.8860524800686983</v>
      </c>
      <c r="J40">
        <f t="shared" si="7"/>
        <v>1.1916119185522733</v>
      </c>
    </row>
    <row r="41" spans="1:10" x14ac:dyDescent="0.5">
      <c r="B41">
        <v>0.9</v>
      </c>
      <c r="G41">
        <f t="shared" si="4"/>
        <v>0.72900000000000009</v>
      </c>
      <c r="H41">
        <f t="shared" si="5"/>
        <v>1.422758277467139E-2</v>
      </c>
      <c r="I41">
        <f t="shared" si="6"/>
        <v>0.64593225797008114</v>
      </c>
      <c r="J41">
        <f t="shared" si="7"/>
        <v>1.072450726697046</v>
      </c>
    </row>
    <row r="42" spans="1:10" x14ac:dyDescent="0.5">
      <c r="B42" s="1">
        <f>AVERAGE(B2:B41)</f>
        <v>1.0649999999999999</v>
      </c>
      <c r="G42" s="1">
        <f>SUM(G2:G41)</f>
        <v>51.238500000000016</v>
      </c>
      <c r="J42" s="1">
        <f>AVERAGE(J2:J41)</f>
        <v>1.2690666932581718</v>
      </c>
    </row>
    <row r="46" spans="1:10" x14ac:dyDescent="0.5">
      <c r="A46" t="s">
        <v>2</v>
      </c>
      <c r="B46" t="s">
        <v>3</v>
      </c>
      <c r="C46" t="s">
        <v>5</v>
      </c>
      <c r="D46" t="s">
        <v>16</v>
      </c>
      <c r="E46" t="s">
        <v>7</v>
      </c>
    </row>
    <row r="47" spans="1:10" x14ac:dyDescent="0.5">
      <c r="A47">
        <v>95</v>
      </c>
      <c r="B47">
        <v>91</v>
      </c>
      <c r="C47">
        <f>2000*0.001</f>
        <v>2</v>
      </c>
      <c r="D47">
        <f>95/2</f>
        <v>47.5</v>
      </c>
      <c r="E47">
        <f>91/2</f>
        <v>45.5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9A917-4E6E-44AC-97D7-F62DB0DC8F65}">
  <dimension ref="A1:D12"/>
  <sheetViews>
    <sheetView workbookViewId="0">
      <selection activeCell="D13" sqref="D13"/>
    </sheetView>
  </sheetViews>
  <sheetFormatPr defaultRowHeight="18" x14ac:dyDescent="0.5"/>
  <cols>
    <col min="1" max="1" width="25" customWidth="1"/>
    <col min="2" max="2" width="23.59765625" customWidth="1"/>
    <col min="3" max="3" width="22.3984375" customWidth="1"/>
    <col min="4" max="4" width="20.296875" customWidth="1"/>
  </cols>
  <sheetData>
    <row r="1" spans="1:4" x14ac:dyDescent="0.5">
      <c r="A1" t="s">
        <v>0</v>
      </c>
      <c r="B1" t="s">
        <v>1</v>
      </c>
      <c r="C1" t="s">
        <v>2</v>
      </c>
      <c r="D1" t="s">
        <v>3</v>
      </c>
    </row>
    <row r="2" spans="1:4" x14ac:dyDescent="0.5">
      <c r="A2">
        <v>2.2999999999999998</v>
      </c>
      <c r="B2">
        <v>0.8</v>
      </c>
      <c r="C2">
        <v>66</v>
      </c>
      <c r="D2">
        <v>66</v>
      </c>
    </row>
    <row r="3" spans="1:4" x14ac:dyDescent="0.5">
      <c r="A3">
        <v>3.4</v>
      </c>
      <c r="B3">
        <v>1</v>
      </c>
    </row>
    <row r="4" spans="1:4" x14ac:dyDescent="0.5">
      <c r="A4">
        <v>2.5</v>
      </c>
      <c r="B4">
        <v>0.9</v>
      </c>
    </row>
    <row r="5" spans="1:4" x14ac:dyDescent="0.5">
      <c r="A5">
        <v>3</v>
      </c>
      <c r="B5">
        <v>0.9</v>
      </c>
    </row>
    <row r="6" spans="1:4" x14ac:dyDescent="0.5">
      <c r="A6">
        <v>3</v>
      </c>
      <c r="B6">
        <v>1</v>
      </c>
    </row>
    <row r="7" spans="1:4" x14ac:dyDescent="0.5">
      <c r="A7">
        <v>3</v>
      </c>
      <c r="B7">
        <v>0.7</v>
      </c>
    </row>
    <row r="8" spans="1:4" x14ac:dyDescent="0.5">
      <c r="A8">
        <v>3</v>
      </c>
      <c r="B8">
        <v>0.9</v>
      </c>
    </row>
    <row r="9" spans="1:4" x14ac:dyDescent="0.5">
      <c r="A9">
        <v>3</v>
      </c>
      <c r="B9">
        <v>0.95</v>
      </c>
    </row>
    <row r="10" spans="1:4" x14ac:dyDescent="0.5">
      <c r="A10">
        <v>3</v>
      </c>
      <c r="B10">
        <v>0.95</v>
      </c>
    </row>
    <row r="11" spans="1:4" x14ac:dyDescent="0.5">
      <c r="A11">
        <v>3</v>
      </c>
      <c r="B11">
        <v>0.7</v>
      </c>
    </row>
    <row r="12" spans="1:4" x14ac:dyDescent="0.5">
      <c r="A12" s="1">
        <f>AVERAGE(A2:A11)</f>
        <v>2.92</v>
      </c>
      <c r="B12" s="1">
        <f>AVERAGE(B2:B11)</f>
        <v>0.87999999999999989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55D5C-B48D-4A18-9A6B-CDFE117B6D4B}">
  <dimension ref="A1:D12"/>
  <sheetViews>
    <sheetView workbookViewId="0">
      <selection activeCell="H12" sqref="H12"/>
    </sheetView>
  </sheetViews>
  <sheetFormatPr defaultRowHeight="18" x14ac:dyDescent="0.5"/>
  <cols>
    <col min="1" max="1" width="22.3984375" customWidth="1"/>
    <col min="2" max="2" width="22" customWidth="1"/>
    <col min="3" max="3" width="21.5" customWidth="1"/>
    <col min="4" max="4" width="19.69921875" customWidth="1"/>
  </cols>
  <sheetData>
    <row r="1" spans="1:4" x14ac:dyDescent="0.5">
      <c r="A1" t="s">
        <v>0</v>
      </c>
      <c r="B1" t="s">
        <v>1</v>
      </c>
      <c r="C1" t="s">
        <v>2</v>
      </c>
      <c r="D1" t="s">
        <v>3</v>
      </c>
    </row>
    <row r="2" spans="1:4" x14ac:dyDescent="0.5">
      <c r="A2">
        <v>2.9</v>
      </c>
      <c r="B2">
        <v>1.4</v>
      </c>
      <c r="C2">
        <v>260</v>
      </c>
      <c r="D2">
        <v>244</v>
      </c>
    </row>
    <row r="3" spans="1:4" x14ac:dyDescent="0.5">
      <c r="A3">
        <v>2.8</v>
      </c>
      <c r="B3">
        <v>1.35</v>
      </c>
    </row>
    <row r="4" spans="1:4" x14ac:dyDescent="0.5">
      <c r="A4">
        <v>3.5</v>
      </c>
      <c r="B4">
        <v>1.1000000000000001</v>
      </c>
    </row>
    <row r="5" spans="1:4" x14ac:dyDescent="0.5">
      <c r="A5">
        <v>2.6</v>
      </c>
      <c r="B5">
        <v>1.8</v>
      </c>
    </row>
    <row r="6" spans="1:4" x14ac:dyDescent="0.5">
      <c r="A6">
        <v>2.7</v>
      </c>
      <c r="B6">
        <v>1.6</v>
      </c>
    </row>
    <row r="7" spans="1:4" x14ac:dyDescent="0.5">
      <c r="A7">
        <v>2.9</v>
      </c>
      <c r="B7">
        <v>1</v>
      </c>
    </row>
    <row r="8" spans="1:4" x14ac:dyDescent="0.5">
      <c r="A8">
        <v>3.3</v>
      </c>
      <c r="B8">
        <v>1.05</v>
      </c>
    </row>
    <row r="9" spans="1:4" x14ac:dyDescent="0.5">
      <c r="A9">
        <v>3.4</v>
      </c>
      <c r="B9">
        <v>2</v>
      </c>
    </row>
    <row r="10" spans="1:4" x14ac:dyDescent="0.5">
      <c r="A10">
        <v>3</v>
      </c>
      <c r="B10">
        <v>1.2</v>
      </c>
    </row>
    <row r="11" spans="1:4" x14ac:dyDescent="0.5">
      <c r="A11">
        <v>2.8</v>
      </c>
      <c r="B11">
        <v>1.4</v>
      </c>
    </row>
    <row r="12" spans="1:4" x14ac:dyDescent="0.5">
      <c r="A12" s="1">
        <f>AVERAGE(A2:A11)</f>
        <v>2.9899999999999998</v>
      </c>
      <c r="B12" s="1">
        <f>AVERAGE(B2:B11)</f>
        <v>1.3900000000000001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A4F2D-E131-4FAD-B9F4-02C12AA7125A}">
  <dimension ref="A1:D12"/>
  <sheetViews>
    <sheetView workbookViewId="0">
      <selection activeCell="D15" sqref="D15"/>
    </sheetView>
  </sheetViews>
  <sheetFormatPr defaultRowHeight="18" x14ac:dyDescent="0.5"/>
  <cols>
    <col min="1" max="1" width="22.69921875" customWidth="1"/>
    <col min="2" max="2" width="23.69921875" customWidth="1"/>
    <col min="3" max="3" width="21.19921875" customWidth="1"/>
    <col min="4" max="4" width="20.09765625" customWidth="1"/>
  </cols>
  <sheetData>
    <row r="1" spans="1:4" x14ac:dyDescent="0.5">
      <c r="A1" t="s">
        <v>0</v>
      </c>
      <c r="B1" t="s">
        <v>1</v>
      </c>
      <c r="C1" t="s">
        <v>2</v>
      </c>
      <c r="D1" t="s">
        <v>3</v>
      </c>
    </row>
    <row r="2" spans="1:4" x14ac:dyDescent="0.5">
      <c r="A2">
        <v>3</v>
      </c>
      <c r="B2">
        <v>1</v>
      </c>
      <c r="C2">
        <v>136</v>
      </c>
      <c r="D2">
        <v>130</v>
      </c>
    </row>
    <row r="3" spans="1:4" x14ac:dyDescent="0.5">
      <c r="A3">
        <v>3.5</v>
      </c>
      <c r="B3">
        <v>1.2</v>
      </c>
    </row>
    <row r="4" spans="1:4" x14ac:dyDescent="0.5">
      <c r="A4">
        <v>3.5</v>
      </c>
      <c r="B4">
        <v>1</v>
      </c>
    </row>
    <row r="5" spans="1:4" x14ac:dyDescent="0.5">
      <c r="A5">
        <v>3.5</v>
      </c>
      <c r="B5">
        <v>0.8</v>
      </c>
    </row>
    <row r="6" spans="1:4" x14ac:dyDescent="0.5">
      <c r="A6">
        <v>2.6</v>
      </c>
      <c r="B6">
        <v>1.1000000000000001</v>
      </c>
    </row>
    <row r="7" spans="1:4" x14ac:dyDescent="0.5">
      <c r="A7">
        <v>3</v>
      </c>
      <c r="B7">
        <v>1.05</v>
      </c>
    </row>
    <row r="8" spans="1:4" x14ac:dyDescent="0.5">
      <c r="A8">
        <v>3</v>
      </c>
      <c r="B8">
        <v>0.9</v>
      </c>
    </row>
    <row r="9" spans="1:4" x14ac:dyDescent="0.5">
      <c r="A9">
        <v>2.9</v>
      </c>
      <c r="B9">
        <v>0.85</v>
      </c>
    </row>
    <row r="10" spans="1:4" x14ac:dyDescent="0.5">
      <c r="A10">
        <v>3.4</v>
      </c>
      <c r="B10">
        <v>1</v>
      </c>
    </row>
    <row r="11" spans="1:4" x14ac:dyDescent="0.5">
      <c r="A11">
        <v>3.2</v>
      </c>
      <c r="B11">
        <v>0.8</v>
      </c>
    </row>
    <row r="12" spans="1:4" x14ac:dyDescent="0.5">
      <c r="A12" s="1">
        <f>AVERAGE(A2:A11)</f>
        <v>3.1599999999999997</v>
      </c>
      <c r="B12" s="1">
        <f>AVERAGE(B2:B11)</f>
        <v>0.97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E98B1-8545-42DB-9870-59E2319402CB}">
  <dimension ref="A1"/>
  <sheetViews>
    <sheetView workbookViewId="0">
      <selection activeCell="C9" sqref="C9"/>
    </sheetView>
  </sheetViews>
  <sheetFormatPr defaultRowHeight="18" x14ac:dyDescent="0.5"/>
  <cols>
    <col min="1" max="1" width="21.8984375" customWidth="1"/>
    <col min="2" max="2" width="25.296875" customWidth="1"/>
  </cols>
  <sheetData>
    <row r="1" spans="1:1" x14ac:dyDescent="0.5">
      <c r="A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Feed-1</vt:lpstr>
      <vt:lpstr>Feed-2</vt:lpstr>
      <vt:lpstr>Feed-3</vt:lpstr>
      <vt:lpstr>Feed-4</vt:lpstr>
      <vt:lpstr>Feed-5</vt:lpstr>
      <vt:lpstr>Feed-6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Raunak Jalan</dc:creator>
  <cp:lastModifiedBy>Raunak Jalan</cp:lastModifiedBy>
  <dcterms:created xsi:type="dcterms:W3CDTF">2025-03-31T10:59:19Z</dcterms:created>
  <dcterms:modified xsi:type="dcterms:W3CDTF">2025-03-31T16:16:00Z</dcterms:modified>
</cp:coreProperties>
</file>